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Documents\GitHub\Augmentum_eDNA_metabarcoding\data\16S\"/>
    </mc:Choice>
  </mc:AlternateContent>
  <xr:revisionPtr revIDLastSave="0" documentId="13_ncr:1_{910CB5C4-42CE-4172-B5A4-A290C3D86ED1}" xr6:coauthVersionLast="47" xr6:coauthVersionMax="47" xr10:uidLastSave="{00000000-0000-0000-0000-000000000000}"/>
  <bookViews>
    <workbookView xWindow="-108" yWindow="-108" windowWidth="23256" windowHeight="12456" xr2:uid="{A98CF8EC-D2DA-4B38-910A-EF3A2677D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2" i="1" a="1"/>
  <c r="D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2" i="1" a="1"/>
  <c r="C2" i="1" s="1"/>
  <c r="B3" i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2" i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<sst xmlns="http://schemas.openxmlformats.org/spreadsheetml/2006/main" count="348" uniqueCount="128">
  <si>
    <t>01_St1_D1</t>
  </si>
  <si>
    <t>02_St1_D15</t>
  </si>
  <si>
    <t>03_St1_D45</t>
  </si>
  <si>
    <t>04_St2_D1</t>
  </si>
  <si>
    <t>05_St2_D15</t>
  </si>
  <si>
    <t>06_St2_D45</t>
  </si>
  <si>
    <t>07_St3_D1</t>
  </si>
  <si>
    <t>08_St3_D15</t>
  </si>
  <si>
    <t>09_St3_D45</t>
  </si>
  <si>
    <t>10_St4_D1</t>
  </si>
  <si>
    <t>11_St4_D15</t>
  </si>
  <si>
    <t>12_St4_D45</t>
  </si>
  <si>
    <t>13_St5_D1</t>
  </si>
  <si>
    <t>14_St5_D15</t>
  </si>
  <si>
    <t>15_St5_D45</t>
  </si>
  <si>
    <t>16_St6_D1</t>
  </si>
  <si>
    <t>17_St6_D15</t>
  </si>
  <si>
    <t>18_St6_D45</t>
  </si>
  <si>
    <t>19_St7_D1</t>
  </si>
  <si>
    <t>20_St7_D15</t>
  </si>
  <si>
    <t>21_St7_D45</t>
  </si>
  <si>
    <t>22_St8_D1</t>
  </si>
  <si>
    <t>23_St8_D15</t>
  </si>
  <si>
    <t>24_St8_D45</t>
  </si>
  <si>
    <t>25_St9_D1</t>
  </si>
  <si>
    <t>26_St10_D1</t>
  </si>
  <si>
    <t>27_St10_D15</t>
  </si>
  <si>
    <t>28_St10_D45</t>
  </si>
  <si>
    <t>29_St11_D1</t>
  </si>
  <si>
    <t>30_St11_D15</t>
  </si>
  <si>
    <t>31_St11_D45</t>
  </si>
  <si>
    <t>32_St12_D1</t>
  </si>
  <si>
    <t>33_St12_D15</t>
  </si>
  <si>
    <t>34_St12_D45</t>
  </si>
  <si>
    <t>35_St13_D1</t>
  </si>
  <si>
    <t>36_St13_D15</t>
  </si>
  <si>
    <t>37_St13_D45</t>
  </si>
  <si>
    <t>38_St14_D1</t>
  </si>
  <si>
    <t>39_St14_D15</t>
  </si>
  <si>
    <t>40_St14_D45</t>
  </si>
  <si>
    <t>41_St15_D1</t>
  </si>
  <si>
    <t>42_St15_D15</t>
  </si>
  <si>
    <t>43_St15_D45</t>
  </si>
  <si>
    <t>44_St16_D1</t>
  </si>
  <si>
    <t>45_St16_D15</t>
  </si>
  <si>
    <t>46_St16_D45</t>
  </si>
  <si>
    <t>47_St17_D1</t>
  </si>
  <si>
    <t>48_St17_D15</t>
  </si>
  <si>
    <t>49_St17_D45</t>
  </si>
  <si>
    <t>50_St18_D1</t>
  </si>
  <si>
    <t>51_St18_D15</t>
  </si>
  <si>
    <t>52_St18_D45</t>
  </si>
  <si>
    <t>53_St19_D1</t>
  </si>
  <si>
    <t>54_St19_D15</t>
  </si>
  <si>
    <t>55_St19_D45</t>
  </si>
  <si>
    <t>56_St20_D1</t>
  </si>
  <si>
    <t>57_St20_D15</t>
  </si>
  <si>
    <t>58_St20_D45</t>
  </si>
  <si>
    <t>59_St21_D1</t>
  </si>
  <si>
    <t>60_St21_D15</t>
  </si>
  <si>
    <t>61_St21_D45</t>
  </si>
  <si>
    <t>62_St22_D1</t>
  </si>
  <si>
    <t>63_St22_D15</t>
  </si>
  <si>
    <t>64_St22_D45</t>
  </si>
  <si>
    <t>65_zymo_positive</t>
  </si>
  <si>
    <t>66_Extraction_negative</t>
  </si>
  <si>
    <t>Name</t>
  </si>
  <si>
    <t>Number</t>
  </si>
  <si>
    <t>Station</t>
  </si>
  <si>
    <t>Depth</t>
  </si>
  <si>
    <t>Lat</t>
  </si>
  <si>
    <t>Lon</t>
  </si>
  <si>
    <t>Fjord</t>
  </si>
  <si>
    <t>Date</t>
  </si>
  <si>
    <t>NA</t>
  </si>
  <si>
    <t>Time</t>
  </si>
  <si>
    <t>65°55.80 N</t>
  </si>
  <si>
    <t>37°48.155 W</t>
  </si>
  <si>
    <t>65°50.87 N</t>
  </si>
  <si>
    <t>37°54.16 W</t>
  </si>
  <si>
    <t>65°47.47 N</t>
  </si>
  <si>
    <t>37°56.49 W</t>
  </si>
  <si>
    <t>65°45.42 N</t>
  </si>
  <si>
    <t>37°58.57 W</t>
  </si>
  <si>
    <t>65°41.97 N</t>
  </si>
  <si>
    <t>38°00.91 W</t>
  </si>
  <si>
    <t>65°38.45 N</t>
  </si>
  <si>
    <t>38°01.93 W</t>
  </si>
  <si>
    <t>65°32.93 N</t>
  </si>
  <si>
    <t>38°04.76 W</t>
  </si>
  <si>
    <t>65°24.10 N</t>
  </si>
  <si>
    <t>38°04.44 W</t>
  </si>
  <si>
    <t>60°54.77 N</t>
  </si>
  <si>
    <t>45°18.73 W</t>
  </si>
  <si>
    <t>60°51.069 N</t>
  </si>
  <si>
    <t>45°28.818 W</t>
  </si>
  <si>
    <t>60°44.93 N</t>
  </si>
  <si>
    <t>45°40.53 W</t>
  </si>
  <si>
    <t>60°42.19 N</t>
  </si>
  <si>
    <t>45°54.64 W</t>
  </si>
  <si>
    <t>60°41.64 N</t>
  </si>
  <si>
    <t>46°06.74 W</t>
  </si>
  <si>
    <t>60°38.63 N</t>
  </si>
  <si>
    <t>46°15.31 W</t>
  </si>
  <si>
    <t>60°10.119 N</t>
  </si>
  <si>
    <t>47°15.909 W</t>
  </si>
  <si>
    <t>60°28.87 N</t>
  </si>
  <si>
    <t>46°35.15 W</t>
  </si>
  <si>
    <t>61°10.092 N</t>
  </si>
  <si>
    <t>45°14.080 W</t>
  </si>
  <si>
    <t>61°03.419 N</t>
  </si>
  <si>
    <t>45°26.625 W</t>
  </si>
  <si>
    <t>60°56.71 N</t>
  </si>
  <si>
    <t>45°45.26 W</t>
  </si>
  <si>
    <t>60°52.94 N</t>
  </si>
  <si>
    <t>46°02.51 W</t>
  </si>
  <si>
    <t>60°46.68 N</t>
  </si>
  <si>
    <t>46°19.05 W</t>
  </si>
  <si>
    <t>60°40.01 N</t>
  </si>
  <si>
    <t>46°43.34 W</t>
  </si>
  <si>
    <t>Sermilik</t>
  </si>
  <si>
    <t>Iterdalk</t>
  </si>
  <si>
    <t>Tunulliarfik</t>
  </si>
  <si>
    <t>MW</t>
  </si>
  <si>
    <t>AW</t>
  </si>
  <si>
    <t>WGSW</t>
  </si>
  <si>
    <t>WGIW</t>
  </si>
  <si>
    <t>Water_mass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</si>
</sst>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0DF38-8580-4A2A-AD14-AC0E2FE4D95C}">
  <dimension ref="A1:O67"/>
  <sheetViews>
    <sheetView tabSelected="1" workbookViewId="0">
      <selection activeCell="J1" sqref="J1"/>
    </sheetView>
  </sheetViews>
  <sheetFormatPr defaultRowHeight="14.4" x14ac:dyDescent="0.3"/>
  <cols>
    <col min="1" max="1" width="12" customWidth="1"/>
    <col min="5" max="5" width="12" customWidth="1"/>
    <col min="9" max="9" width="12.5546875" customWidth="1"/>
  </cols>
  <sheetData>
    <row r="1" spans="1:15" x14ac:dyDescent="0.3">
      <c r="A1" t="s">
        <v>66</v>
      </c>
      <c r="B1" t="s">
        <v>67</v>
      </c>
      <c r="C1" t="s">
        <v>68</v>
      </c>
      <c r="D1" t="s">
        <v>69</v>
      </c>
      <c r="E1" t="s">
        <v>73</v>
      </c>
      <c r="F1" t="s">
        <v>75</v>
      </c>
      <c r="G1" t="s">
        <v>70</v>
      </c>
      <c r="H1" t="s">
        <v>71</v>
      </c>
      <c r="I1" t="s">
        <v>72</v>
      </c>
      <c r="J1" t="s">
        <v>127</v>
      </c>
    </row>
    <row r="2" spans="1:15" x14ac:dyDescent="0.3">
      <c r="A2" t="s">
        <v>0</v>
      </c>
      <c r="B2" t="str" cm="1">
        <f t="array" ref="B2">INDEX(_xlfn.TEXTSPLIT(A2,"_"),1)</f>
        <v>01</v>
      </c>
      <c r="C2" t="str" cm="1">
        <f t="array" ref="C2">SUBSTITUTE(INDEX(_xlfn.TEXTSPLIT(A2,"_"),2),"St","")</f>
        <v>1</v>
      </c>
      <c r="D2" t="str" cm="1">
        <f t="array" ref="D2">SUBSTITUTE(INDEX(_xlfn.TEXTSPLIT(A2,"_"),3),"D","")</f>
        <v>1</v>
      </c>
      <c r="E2" s="1">
        <v>45885</v>
      </c>
      <c r="F2" s="2">
        <v>0.36944444444444446</v>
      </c>
      <c r="G2" t="s">
        <v>76</v>
      </c>
      <c r="H2" t="s">
        <v>77</v>
      </c>
      <c r="I2" t="s">
        <v>120</v>
      </c>
      <c r="J2" t="s">
        <v>123</v>
      </c>
    </row>
    <row r="3" spans="1:15" x14ac:dyDescent="0.3">
      <c r="A3" t="s">
        <v>1</v>
      </c>
      <c r="B3" t="str" cm="1">
        <f t="array" ref="B3">INDEX(_xlfn.TEXTSPLIT(A3,"_"),1)</f>
        <v>02</v>
      </c>
      <c r="C3" t="str" cm="1">
        <f t="array" ref="C3">SUBSTITUTE(INDEX(_xlfn.TEXTSPLIT(A3,"_"),2),"St","")</f>
        <v>1</v>
      </c>
      <c r="D3" t="str" cm="1">
        <f t="array" ref="D3">SUBSTITUTE(INDEX(_xlfn.TEXTSPLIT(A3,"_"),3),"D","")</f>
        <v>15</v>
      </c>
      <c r="E3" s="1">
        <v>45885</v>
      </c>
      <c r="F3" s="2">
        <v>0.36944444444444446</v>
      </c>
      <c r="G3" t="s">
        <v>76</v>
      </c>
      <c r="H3" t="s">
        <v>77</v>
      </c>
      <c r="I3" t="s">
        <v>120</v>
      </c>
      <c r="J3" t="s">
        <v>123</v>
      </c>
    </row>
    <row r="4" spans="1:15" x14ac:dyDescent="0.3">
      <c r="A4" t="s">
        <v>2</v>
      </c>
      <c r="B4" t="str" cm="1">
        <f t="array" ref="B4">INDEX(_xlfn.TEXTSPLIT(A4,"_"),1)</f>
        <v>03</v>
      </c>
      <c r="C4" t="str" cm="1">
        <f t="array" ref="C4">SUBSTITUTE(INDEX(_xlfn.TEXTSPLIT(A4,"_"),2),"St","")</f>
        <v>1</v>
      </c>
      <c r="D4" t="str" cm="1">
        <f t="array" ref="D4">SUBSTITUTE(INDEX(_xlfn.TEXTSPLIT(A4,"_"),3),"D","")</f>
        <v>45</v>
      </c>
      <c r="E4" s="1">
        <v>45885</v>
      </c>
      <c r="F4" s="2">
        <v>0.36944444444444446</v>
      </c>
      <c r="G4" t="s">
        <v>76</v>
      </c>
      <c r="H4" t="s">
        <v>77</v>
      </c>
      <c r="I4" t="s">
        <v>120</v>
      </c>
      <c r="J4" t="s">
        <v>124</v>
      </c>
      <c r="O4" s="2"/>
    </row>
    <row r="5" spans="1:15" x14ac:dyDescent="0.3">
      <c r="A5" t="s">
        <v>3</v>
      </c>
      <c r="B5" t="str" cm="1">
        <f t="array" ref="B5">INDEX(_xlfn.TEXTSPLIT(A5,"_"),1)</f>
        <v>04</v>
      </c>
      <c r="C5" t="str" cm="1">
        <f t="array" ref="C5">SUBSTITUTE(INDEX(_xlfn.TEXTSPLIT(A5,"_"),2),"St","")</f>
        <v>2</v>
      </c>
      <c r="D5" t="str" cm="1">
        <f t="array" ref="D5">SUBSTITUTE(INDEX(_xlfn.TEXTSPLIT(A5,"_"),3),"D","")</f>
        <v>1</v>
      </c>
      <c r="E5" s="1">
        <v>45885</v>
      </c>
      <c r="F5" s="2">
        <v>0.60763888888888895</v>
      </c>
      <c r="G5" t="s">
        <v>78</v>
      </c>
      <c r="H5" t="s">
        <v>79</v>
      </c>
      <c r="I5" t="s">
        <v>120</v>
      </c>
      <c r="J5" t="s">
        <v>123</v>
      </c>
    </row>
    <row r="6" spans="1:15" x14ac:dyDescent="0.3">
      <c r="A6" t="s">
        <v>4</v>
      </c>
      <c r="B6" t="str" cm="1">
        <f t="array" ref="B6">INDEX(_xlfn.TEXTSPLIT(A6,"_"),1)</f>
        <v>05</v>
      </c>
      <c r="C6" t="str" cm="1">
        <f t="array" ref="C6">SUBSTITUTE(INDEX(_xlfn.TEXTSPLIT(A6,"_"),2),"St","")</f>
        <v>2</v>
      </c>
      <c r="D6" t="str" cm="1">
        <f t="array" ref="D6">SUBSTITUTE(INDEX(_xlfn.TEXTSPLIT(A6,"_"),3),"D","")</f>
        <v>15</v>
      </c>
      <c r="E6" s="1">
        <v>45885</v>
      </c>
      <c r="F6" s="2">
        <v>0.60763888888888895</v>
      </c>
      <c r="G6" t="s">
        <v>78</v>
      </c>
      <c r="H6" t="s">
        <v>79</v>
      </c>
      <c r="I6" t="s">
        <v>120</v>
      </c>
      <c r="J6" t="s">
        <v>123</v>
      </c>
    </row>
    <row r="7" spans="1:15" x14ac:dyDescent="0.3">
      <c r="A7" t="s">
        <v>5</v>
      </c>
      <c r="B7" t="str" cm="1">
        <f t="array" ref="B7">INDEX(_xlfn.TEXTSPLIT(A7,"_"),1)</f>
        <v>06</v>
      </c>
      <c r="C7" t="str" cm="1">
        <f t="array" ref="C7">SUBSTITUTE(INDEX(_xlfn.TEXTSPLIT(A7,"_"),2),"St","")</f>
        <v>2</v>
      </c>
      <c r="D7" t="str" cm="1">
        <f t="array" ref="D7">SUBSTITUTE(INDEX(_xlfn.TEXTSPLIT(A7,"_"),3),"D","")</f>
        <v>45</v>
      </c>
      <c r="E7" s="1">
        <v>45885</v>
      </c>
      <c r="F7" s="2">
        <v>0.60763888888888895</v>
      </c>
      <c r="G7" t="s">
        <v>78</v>
      </c>
      <c r="H7" t="s">
        <v>79</v>
      </c>
      <c r="I7" t="s">
        <v>120</v>
      </c>
      <c r="J7" t="s">
        <v>124</v>
      </c>
    </row>
    <row r="8" spans="1:15" x14ac:dyDescent="0.3">
      <c r="A8" t="s">
        <v>6</v>
      </c>
      <c r="B8" t="str" cm="1">
        <f t="array" ref="B8">INDEX(_xlfn.TEXTSPLIT(A8,"_"),1)</f>
        <v>07</v>
      </c>
      <c r="C8" t="str" cm="1">
        <f t="array" ref="C8">SUBSTITUTE(INDEX(_xlfn.TEXTSPLIT(A8,"_"),2),"St","")</f>
        <v>3</v>
      </c>
      <c r="D8" t="str" cm="1">
        <f t="array" ref="D8">SUBSTITUTE(INDEX(_xlfn.TEXTSPLIT(A8,"_"),3),"D","")</f>
        <v>1</v>
      </c>
      <c r="E8" s="1">
        <v>45886</v>
      </c>
      <c r="F8" s="2">
        <v>0.35694444444444445</v>
      </c>
      <c r="G8" t="s">
        <v>80</v>
      </c>
      <c r="H8" t="s">
        <v>81</v>
      </c>
      <c r="I8" t="s">
        <v>120</v>
      </c>
      <c r="J8" t="s">
        <v>123</v>
      </c>
    </row>
    <row r="9" spans="1:15" x14ac:dyDescent="0.3">
      <c r="A9" t="s">
        <v>7</v>
      </c>
      <c r="B9" t="str" cm="1">
        <f t="array" ref="B9">INDEX(_xlfn.TEXTSPLIT(A9,"_"),1)</f>
        <v>08</v>
      </c>
      <c r="C9" t="str" cm="1">
        <f t="array" ref="C9">SUBSTITUTE(INDEX(_xlfn.TEXTSPLIT(A9,"_"),2),"St","")</f>
        <v>3</v>
      </c>
      <c r="D9" t="str" cm="1">
        <f t="array" ref="D9">SUBSTITUTE(INDEX(_xlfn.TEXTSPLIT(A9,"_"),3),"D","")</f>
        <v>15</v>
      </c>
      <c r="E9" s="1">
        <v>45886</v>
      </c>
      <c r="F9" s="2">
        <v>0.35694444444444445</v>
      </c>
      <c r="G9" t="s">
        <v>80</v>
      </c>
      <c r="H9" t="s">
        <v>81</v>
      </c>
      <c r="I9" t="s">
        <v>120</v>
      </c>
      <c r="J9" t="s">
        <v>123</v>
      </c>
    </row>
    <row r="10" spans="1:15" x14ac:dyDescent="0.3">
      <c r="A10" t="s">
        <v>8</v>
      </c>
      <c r="B10" t="str" cm="1">
        <f t="array" ref="B10">INDEX(_xlfn.TEXTSPLIT(A10,"_"),1)</f>
        <v>09</v>
      </c>
      <c r="C10" t="str" cm="1">
        <f t="array" ref="C10">SUBSTITUTE(INDEX(_xlfn.TEXTSPLIT(A10,"_"),2),"St","")</f>
        <v>3</v>
      </c>
      <c r="D10" t="str" cm="1">
        <f t="array" ref="D10">SUBSTITUTE(INDEX(_xlfn.TEXTSPLIT(A10,"_"),3),"D","")</f>
        <v>45</v>
      </c>
      <c r="E10" s="1">
        <v>45886</v>
      </c>
      <c r="F10" s="2">
        <v>0.35694444444444445</v>
      </c>
      <c r="G10" t="s">
        <v>80</v>
      </c>
      <c r="H10" t="s">
        <v>81</v>
      </c>
      <c r="I10" t="s">
        <v>120</v>
      </c>
      <c r="J10" t="s">
        <v>123</v>
      </c>
    </row>
    <row r="11" spans="1:15" x14ac:dyDescent="0.3">
      <c r="A11" t="s">
        <v>9</v>
      </c>
      <c r="B11" t="str" cm="1">
        <f t="array" ref="B11">INDEX(_xlfn.TEXTSPLIT(A11,"_"),1)</f>
        <v>10</v>
      </c>
      <c r="C11" t="str" cm="1">
        <f t="array" ref="C11">SUBSTITUTE(INDEX(_xlfn.TEXTSPLIT(A11,"_"),2),"St","")</f>
        <v>4</v>
      </c>
      <c r="D11" t="str" cm="1">
        <f t="array" ref="D11">SUBSTITUTE(INDEX(_xlfn.TEXTSPLIT(A11,"_"),3),"D","")</f>
        <v>1</v>
      </c>
      <c r="E11" s="1">
        <v>45886</v>
      </c>
      <c r="F11" s="2">
        <v>0.4145833333333333</v>
      </c>
      <c r="G11" t="s">
        <v>82</v>
      </c>
      <c r="H11" t="s">
        <v>83</v>
      </c>
      <c r="I11" t="s">
        <v>120</v>
      </c>
      <c r="J11" t="s">
        <v>123</v>
      </c>
      <c r="O11" s="2"/>
    </row>
    <row r="12" spans="1:15" x14ac:dyDescent="0.3">
      <c r="A12" t="s">
        <v>10</v>
      </c>
      <c r="B12" t="str" cm="1">
        <f t="array" ref="B12">INDEX(_xlfn.TEXTSPLIT(A12,"_"),1)</f>
        <v>11</v>
      </c>
      <c r="C12" t="str" cm="1">
        <f t="array" ref="C12">SUBSTITUTE(INDEX(_xlfn.TEXTSPLIT(A12,"_"),2),"St","")</f>
        <v>4</v>
      </c>
      <c r="D12" t="str" cm="1">
        <f t="array" ref="D12">SUBSTITUTE(INDEX(_xlfn.TEXTSPLIT(A12,"_"),3),"D","")</f>
        <v>15</v>
      </c>
      <c r="E12" s="1">
        <v>45886</v>
      </c>
      <c r="F12" s="2">
        <v>0.4145833333333333</v>
      </c>
      <c r="G12" t="s">
        <v>82</v>
      </c>
      <c r="H12" t="s">
        <v>83</v>
      </c>
      <c r="I12" t="s">
        <v>120</v>
      </c>
      <c r="J12" t="s">
        <v>123</v>
      </c>
      <c r="O12" s="2"/>
    </row>
    <row r="13" spans="1:15" x14ac:dyDescent="0.3">
      <c r="A13" t="s">
        <v>11</v>
      </c>
      <c r="B13" t="str" cm="1">
        <f t="array" ref="B13">INDEX(_xlfn.TEXTSPLIT(A13,"_"),1)</f>
        <v>12</v>
      </c>
      <c r="C13" t="str" cm="1">
        <f t="array" ref="C13">SUBSTITUTE(INDEX(_xlfn.TEXTSPLIT(A13,"_"),2),"St","")</f>
        <v>4</v>
      </c>
      <c r="D13" t="str" cm="1">
        <f t="array" ref="D13">SUBSTITUTE(INDEX(_xlfn.TEXTSPLIT(A13,"_"),3),"D","")</f>
        <v>45</v>
      </c>
      <c r="E13" s="1">
        <v>45886</v>
      </c>
      <c r="F13" s="2">
        <v>0.4145833333333333</v>
      </c>
      <c r="G13" t="s">
        <v>82</v>
      </c>
      <c r="H13" t="s">
        <v>83</v>
      </c>
      <c r="I13" t="s">
        <v>120</v>
      </c>
      <c r="J13" t="s">
        <v>123</v>
      </c>
    </row>
    <row r="14" spans="1:15" x14ac:dyDescent="0.3">
      <c r="A14" t="s">
        <v>12</v>
      </c>
      <c r="B14" t="str" cm="1">
        <f t="array" ref="B14">INDEX(_xlfn.TEXTSPLIT(A14,"_"),1)</f>
        <v>13</v>
      </c>
      <c r="C14" t="str" cm="1">
        <f t="array" ref="C14">SUBSTITUTE(INDEX(_xlfn.TEXTSPLIT(A14,"_"),2),"St","")</f>
        <v>5</v>
      </c>
      <c r="D14" t="str" cm="1">
        <f t="array" ref="D14">SUBSTITUTE(INDEX(_xlfn.TEXTSPLIT(A14,"_"),3),"D","")</f>
        <v>1</v>
      </c>
      <c r="E14" s="1">
        <v>45887</v>
      </c>
      <c r="F14" s="2">
        <v>0.38958333333333334</v>
      </c>
      <c r="G14" t="s">
        <v>84</v>
      </c>
      <c r="H14" t="s">
        <v>85</v>
      </c>
      <c r="I14" t="s">
        <v>120</v>
      </c>
      <c r="J14" t="s">
        <v>123</v>
      </c>
    </row>
    <row r="15" spans="1:15" x14ac:dyDescent="0.3">
      <c r="A15" t="s">
        <v>13</v>
      </c>
      <c r="B15" t="str" cm="1">
        <f t="array" ref="B15">INDEX(_xlfn.TEXTSPLIT(A15,"_"),1)</f>
        <v>14</v>
      </c>
      <c r="C15" t="str" cm="1">
        <f t="array" ref="C15">SUBSTITUTE(INDEX(_xlfn.TEXTSPLIT(A15,"_"),2),"St","")</f>
        <v>5</v>
      </c>
      <c r="D15" t="str" cm="1">
        <f t="array" ref="D15">SUBSTITUTE(INDEX(_xlfn.TEXTSPLIT(A15,"_"),3),"D","")</f>
        <v>15</v>
      </c>
      <c r="E15" s="1">
        <v>45887</v>
      </c>
      <c r="F15" s="2">
        <v>0.38958333333333334</v>
      </c>
      <c r="G15" t="s">
        <v>84</v>
      </c>
      <c r="H15" t="s">
        <v>85</v>
      </c>
      <c r="I15" t="s">
        <v>120</v>
      </c>
      <c r="J15" t="s">
        <v>123</v>
      </c>
    </row>
    <row r="16" spans="1:15" x14ac:dyDescent="0.3">
      <c r="A16" t="s">
        <v>14</v>
      </c>
      <c r="B16" t="str" cm="1">
        <f t="array" ref="B16">INDEX(_xlfn.TEXTSPLIT(A16,"_"),1)</f>
        <v>15</v>
      </c>
      <c r="C16" t="str" cm="1">
        <f t="array" ref="C16">SUBSTITUTE(INDEX(_xlfn.TEXTSPLIT(A16,"_"),2),"St","")</f>
        <v>5</v>
      </c>
      <c r="D16" t="str" cm="1">
        <f t="array" ref="D16">SUBSTITUTE(INDEX(_xlfn.TEXTSPLIT(A16,"_"),3),"D","")</f>
        <v>45</v>
      </c>
      <c r="E16" s="1">
        <v>45887</v>
      </c>
      <c r="F16" s="2">
        <v>0.38958333333333334</v>
      </c>
      <c r="G16" t="s">
        <v>84</v>
      </c>
      <c r="H16" t="s">
        <v>85</v>
      </c>
      <c r="I16" t="s">
        <v>120</v>
      </c>
      <c r="J16" t="s">
        <v>123</v>
      </c>
    </row>
    <row r="17" spans="1:10" x14ac:dyDescent="0.3">
      <c r="A17" t="s">
        <v>15</v>
      </c>
      <c r="B17" t="str" cm="1">
        <f t="array" ref="B17">INDEX(_xlfn.TEXTSPLIT(A17,"_"),1)</f>
        <v>16</v>
      </c>
      <c r="C17" t="str" cm="1">
        <f t="array" ref="C17">SUBSTITUTE(INDEX(_xlfn.TEXTSPLIT(A17,"_"),2),"St","")</f>
        <v>6</v>
      </c>
      <c r="D17" t="str" cm="1">
        <f t="array" ref="D17">SUBSTITUTE(INDEX(_xlfn.TEXTSPLIT(A17,"_"),3),"D","")</f>
        <v>1</v>
      </c>
      <c r="E17" s="1">
        <v>45887</v>
      </c>
      <c r="F17" s="2">
        <v>0.45</v>
      </c>
      <c r="G17" t="s">
        <v>86</v>
      </c>
      <c r="H17" t="s">
        <v>87</v>
      </c>
      <c r="I17" t="s">
        <v>120</v>
      </c>
      <c r="J17" t="s">
        <v>123</v>
      </c>
    </row>
    <row r="18" spans="1:10" x14ac:dyDescent="0.3">
      <c r="A18" t="s">
        <v>16</v>
      </c>
      <c r="B18" t="str" cm="1">
        <f t="array" ref="B18">INDEX(_xlfn.TEXTSPLIT(A18,"_"),1)</f>
        <v>17</v>
      </c>
      <c r="C18" t="str" cm="1">
        <f t="array" ref="C18">SUBSTITUTE(INDEX(_xlfn.TEXTSPLIT(A18,"_"),2),"St","")</f>
        <v>6</v>
      </c>
      <c r="D18" t="str" cm="1">
        <f t="array" ref="D18">SUBSTITUTE(INDEX(_xlfn.TEXTSPLIT(A18,"_"),3),"D","")</f>
        <v>15</v>
      </c>
      <c r="E18" s="1">
        <v>45887</v>
      </c>
      <c r="F18" s="2">
        <v>0.45</v>
      </c>
      <c r="G18" t="s">
        <v>86</v>
      </c>
      <c r="H18" t="s">
        <v>87</v>
      </c>
      <c r="I18" t="s">
        <v>120</v>
      </c>
      <c r="J18" t="s">
        <v>123</v>
      </c>
    </row>
    <row r="19" spans="1:10" x14ac:dyDescent="0.3">
      <c r="A19" t="s">
        <v>17</v>
      </c>
      <c r="B19" t="str" cm="1">
        <f t="array" ref="B19">INDEX(_xlfn.TEXTSPLIT(A19,"_"),1)</f>
        <v>18</v>
      </c>
      <c r="C19" t="str" cm="1">
        <f t="array" ref="C19">SUBSTITUTE(INDEX(_xlfn.TEXTSPLIT(A19,"_"),2),"St","")</f>
        <v>6</v>
      </c>
      <c r="D19" t="str" cm="1">
        <f t="array" ref="D19">SUBSTITUTE(INDEX(_xlfn.TEXTSPLIT(A19,"_"),3),"D","")</f>
        <v>45</v>
      </c>
      <c r="E19" s="1">
        <v>45887</v>
      </c>
      <c r="F19" s="2">
        <v>0.45</v>
      </c>
      <c r="G19" t="s">
        <v>86</v>
      </c>
      <c r="H19" t="s">
        <v>87</v>
      </c>
      <c r="I19" t="s">
        <v>120</v>
      </c>
      <c r="J19" t="s">
        <v>123</v>
      </c>
    </row>
    <row r="20" spans="1:10" x14ac:dyDescent="0.3">
      <c r="A20" t="s">
        <v>18</v>
      </c>
      <c r="B20" t="str" cm="1">
        <f t="array" ref="B20">INDEX(_xlfn.TEXTSPLIT(A20,"_"),1)</f>
        <v>19</v>
      </c>
      <c r="C20" t="str" cm="1">
        <f t="array" ref="C20">SUBSTITUTE(INDEX(_xlfn.TEXTSPLIT(A20,"_"),2),"St","")</f>
        <v>7</v>
      </c>
      <c r="D20" t="str" cm="1">
        <f t="array" ref="D20">SUBSTITUTE(INDEX(_xlfn.TEXTSPLIT(A20,"_"),3),"D","")</f>
        <v>1</v>
      </c>
      <c r="E20" s="1">
        <v>45887</v>
      </c>
      <c r="F20" s="2">
        <v>0.61249999999999993</v>
      </c>
      <c r="G20" t="s">
        <v>88</v>
      </c>
      <c r="H20" t="s">
        <v>89</v>
      </c>
      <c r="I20" t="s">
        <v>120</v>
      </c>
      <c r="J20" t="s">
        <v>123</v>
      </c>
    </row>
    <row r="21" spans="1:10" x14ac:dyDescent="0.3">
      <c r="A21" t="s">
        <v>19</v>
      </c>
      <c r="B21" t="str" cm="1">
        <f t="array" ref="B21">INDEX(_xlfn.TEXTSPLIT(A21,"_"),1)</f>
        <v>20</v>
      </c>
      <c r="C21" t="str" cm="1">
        <f t="array" ref="C21">SUBSTITUTE(INDEX(_xlfn.TEXTSPLIT(A21,"_"),2),"St","")</f>
        <v>7</v>
      </c>
      <c r="D21" t="str" cm="1">
        <f t="array" ref="D21">SUBSTITUTE(INDEX(_xlfn.TEXTSPLIT(A21,"_"),3),"D","")</f>
        <v>15</v>
      </c>
      <c r="E21" s="1">
        <v>45887</v>
      </c>
      <c r="F21" s="2">
        <v>0.61249999999999993</v>
      </c>
      <c r="G21" t="s">
        <v>88</v>
      </c>
      <c r="H21" t="s">
        <v>89</v>
      </c>
      <c r="I21" t="s">
        <v>120</v>
      </c>
      <c r="J21" t="s">
        <v>123</v>
      </c>
    </row>
    <row r="22" spans="1:10" x14ac:dyDescent="0.3">
      <c r="A22" t="s">
        <v>20</v>
      </c>
      <c r="B22" t="str" cm="1">
        <f t="array" ref="B22">INDEX(_xlfn.TEXTSPLIT(A22,"_"),1)</f>
        <v>21</v>
      </c>
      <c r="C22" t="str" cm="1">
        <f t="array" ref="C22">SUBSTITUTE(INDEX(_xlfn.TEXTSPLIT(A22,"_"),2),"St","")</f>
        <v>7</v>
      </c>
      <c r="D22" t="str" cm="1">
        <f t="array" ref="D22">SUBSTITUTE(INDEX(_xlfn.TEXTSPLIT(A22,"_"),3),"D","")</f>
        <v>45</v>
      </c>
      <c r="E22" s="1">
        <v>45887</v>
      </c>
      <c r="F22" s="2">
        <v>0.61249999999999993</v>
      </c>
      <c r="G22" t="s">
        <v>88</v>
      </c>
      <c r="H22" t="s">
        <v>89</v>
      </c>
      <c r="I22" t="s">
        <v>120</v>
      </c>
      <c r="J22" t="s">
        <v>123</v>
      </c>
    </row>
    <row r="23" spans="1:10" x14ac:dyDescent="0.3">
      <c r="A23" t="s">
        <v>21</v>
      </c>
      <c r="B23" t="str" cm="1">
        <f t="array" ref="B23">INDEX(_xlfn.TEXTSPLIT(A23,"_"),1)</f>
        <v>22</v>
      </c>
      <c r="C23" t="str" cm="1">
        <f t="array" ref="C23">SUBSTITUTE(INDEX(_xlfn.TEXTSPLIT(A23,"_"),2),"St","")</f>
        <v>8</v>
      </c>
      <c r="D23" t="str" cm="1">
        <f t="array" ref="D23">SUBSTITUTE(INDEX(_xlfn.TEXTSPLIT(A23,"_"),3),"D","")</f>
        <v>1</v>
      </c>
      <c r="E23" s="1">
        <v>45890</v>
      </c>
      <c r="F23" s="2">
        <v>0.69236111111111109</v>
      </c>
      <c r="G23" t="s">
        <v>90</v>
      </c>
      <c r="H23" t="s">
        <v>91</v>
      </c>
      <c r="I23" t="s">
        <v>120</v>
      </c>
      <c r="J23" t="s">
        <v>123</v>
      </c>
    </row>
    <row r="24" spans="1:10" x14ac:dyDescent="0.3">
      <c r="A24" t="s">
        <v>22</v>
      </c>
      <c r="B24" t="str" cm="1">
        <f t="array" ref="B24">INDEX(_xlfn.TEXTSPLIT(A24,"_"),1)</f>
        <v>23</v>
      </c>
      <c r="C24" t="str" cm="1">
        <f t="array" ref="C24">SUBSTITUTE(INDEX(_xlfn.TEXTSPLIT(A24,"_"),2),"St","")</f>
        <v>8</v>
      </c>
      <c r="D24" t="str" cm="1">
        <f t="array" ref="D24">SUBSTITUTE(INDEX(_xlfn.TEXTSPLIT(A24,"_"),3),"D","")</f>
        <v>15</v>
      </c>
      <c r="E24" s="1">
        <v>45890</v>
      </c>
      <c r="F24" s="2">
        <v>0.69236111111111109</v>
      </c>
      <c r="G24" t="s">
        <v>90</v>
      </c>
      <c r="H24" t="s">
        <v>91</v>
      </c>
      <c r="I24" t="s">
        <v>120</v>
      </c>
      <c r="J24" t="s">
        <v>124</v>
      </c>
    </row>
    <row r="25" spans="1:10" x14ac:dyDescent="0.3">
      <c r="A25" t="s">
        <v>23</v>
      </c>
      <c r="B25" t="str" cm="1">
        <f t="array" ref="B25">INDEX(_xlfn.TEXTSPLIT(A25,"_"),1)</f>
        <v>24</v>
      </c>
      <c r="C25" t="str" cm="1">
        <f t="array" ref="C25">SUBSTITUTE(INDEX(_xlfn.TEXTSPLIT(A25,"_"),2),"St","")</f>
        <v>8</v>
      </c>
      <c r="D25" t="str" cm="1">
        <f t="array" ref="D25">SUBSTITUTE(INDEX(_xlfn.TEXTSPLIT(A25,"_"),3),"D","")</f>
        <v>45</v>
      </c>
      <c r="E25" s="1">
        <v>45890</v>
      </c>
      <c r="F25" s="2">
        <v>0.69236111111111109</v>
      </c>
      <c r="G25" t="s">
        <v>90</v>
      </c>
      <c r="H25" t="s">
        <v>91</v>
      </c>
      <c r="I25" t="s">
        <v>120</v>
      </c>
      <c r="J25" t="s">
        <v>124</v>
      </c>
    </row>
    <row r="26" spans="1:10" x14ac:dyDescent="0.3">
      <c r="A26" t="s">
        <v>24</v>
      </c>
      <c r="B26" t="str" cm="1">
        <f t="array" ref="B26">INDEX(_xlfn.TEXTSPLIT(A26,"_"),1)</f>
        <v>25</v>
      </c>
      <c r="C26" t="str" cm="1">
        <f t="array" ref="C26">SUBSTITUTE(INDEX(_xlfn.TEXTSPLIT(A26,"_"),2),"St","")</f>
        <v>9</v>
      </c>
      <c r="D26" t="str" cm="1">
        <f t="array" ref="D26">SUBSTITUTE(INDEX(_xlfn.TEXTSPLIT(A26,"_"),3),"D","")</f>
        <v>1</v>
      </c>
      <c r="E26" s="1">
        <v>45890</v>
      </c>
      <c r="F26" s="2">
        <v>0.37083333333333335</v>
      </c>
      <c r="G26" t="s">
        <v>92</v>
      </c>
      <c r="H26" t="s">
        <v>93</v>
      </c>
      <c r="I26" t="s">
        <v>121</v>
      </c>
      <c r="J26" t="s">
        <v>123</v>
      </c>
    </row>
    <row r="27" spans="1:10" x14ac:dyDescent="0.3">
      <c r="A27" t="s">
        <v>25</v>
      </c>
      <c r="B27" t="str" cm="1">
        <f t="array" ref="B27">INDEX(_xlfn.TEXTSPLIT(A27,"_"),1)</f>
        <v>26</v>
      </c>
      <c r="C27" t="str" cm="1">
        <f t="array" ref="C27">SUBSTITUTE(INDEX(_xlfn.TEXTSPLIT(A27,"_"),2),"St","")</f>
        <v>10</v>
      </c>
      <c r="D27" t="str" cm="1">
        <f t="array" ref="D27">SUBSTITUTE(INDEX(_xlfn.TEXTSPLIT(A27,"_"),3),"D","")</f>
        <v>1</v>
      </c>
      <c r="E27" s="1">
        <v>45890</v>
      </c>
      <c r="F27" s="2">
        <v>0.40833333333333338</v>
      </c>
      <c r="G27" t="s">
        <v>94</v>
      </c>
      <c r="H27" t="s">
        <v>95</v>
      </c>
      <c r="I27" t="s">
        <v>121</v>
      </c>
      <c r="J27" t="s">
        <v>123</v>
      </c>
    </row>
    <row r="28" spans="1:10" x14ac:dyDescent="0.3">
      <c r="A28" t="s">
        <v>26</v>
      </c>
      <c r="B28" t="str" cm="1">
        <f t="array" ref="B28">INDEX(_xlfn.TEXTSPLIT(A28,"_"),1)</f>
        <v>27</v>
      </c>
      <c r="C28" t="str" cm="1">
        <f t="array" ref="C28">SUBSTITUTE(INDEX(_xlfn.TEXTSPLIT(A28,"_"),2),"St","")</f>
        <v>10</v>
      </c>
      <c r="D28" t="str" cm="1">
        <f t="array" ref="D28">SUBSTITUTE(INDEX(_xlfn.TEXTSPLIT(A28,"_"),3),"D","")</f>
        <v>15</v>
      </c>
      <c r="E28" s="1">
        <v>45890</v>
      </c>
      <c r="F28" s="2">
        <v>0.40833333333333338</v>
      </c>
      <c r="G28" t="s">
        <v>94</v>
      </c>
      <c r="H28" t="s">
        <v>95</v>
      </c>
      <c r="I28" t="s">
        <v>121</v>
      </c>
      <c r="J28" t="s">
        <v>123</v>
      </c>
    </row>
    <row r="29" spans="1:10" x14ac:dyDescent="0.3">
      <c r="A29" t="s">
        <v>27</v>
      </c>
      <c r="B29" t="str" cm="1">
        <f t="array" ref="B29">INDEX(_xlfn.TEXTSPLIT(A29,"_"),1)</f>
        <v>28</v>
      </c>
      <c r="C29" t="str" cm="1">
        <f t="array" ref="C29">SUBSTITUTE(INDEX(_xlfn.TEXTSPLIT(A29,"_"),2),"St","")</f>
        <v>10</v>
      </c>
      <c r="D29" t="str" cm="1">
        <f t="array" ref="D29">SUBSTITUTE(INDEX(_xlfn.TEXTSPLIT(A29,"_"),3),"D","")</f>
        <v>45</v>
      </c>
      <c r="E29" s="1">
        <v>45890</v>
      </c>
      <c r="F29" s="2">
        <v>0.40833333333333338</v>
      </c>
      <c r="G29" t="s">
        <v>94</v>
      </c>
      <c r="H29" t="s">
        <v>95</v>
      </c>
      <c r="I29" t="s">
        <v>121</v>
      </c>
      <c r="J29" t="s">
        <v>124</v>
      </c>
    </row>
    <row r="30" spans="1:10" x14ac:dyDescent="0.3">
      <c r="A30" t="s">
        <v>28</v>
      </c>
      <c r="B30" t="str" cm="1">
        <f t="array" ref="B30">INDEX(_xlfn.TEXTSPLIT(A30,"_"),1)</f>
        <v>29</v>
      </c>
      <c r="C30" t="str" cm="1">
        <f t="array" ref="C30">SUBSTITUTE(INDEX(_xlfn.TEXTSPLIT(A30,"_"),2),"St","")</f>
        <v>11</v>
      </c>
      <c r="D30" t="str" cm="1">
        <f t="array" ref="D30">SUBSTITUTE(INDEX(_xlfn.TEXTSPLIT(A30,"_"),3),"D","")</f>
        <v>1</v>
      </c>
      <c r="E30" s="1">
        <v>45890</v>
      </c>
      <c r="F30" s="2">
        <v>0.56805555555555554</v>
      </c>
      <c r="G30" t="s">
        <v>96</v>
      </c>
      <c r="H30" t="s">
        <v>97</v>
      </c>
      <c r="I30" t="s">
        <v>121</v>
      </c>
      <c r="J30" t="s">
        <v>123</v>
      </c>
    </row>
    <row r="31" spans="1:10" x14ac:dyDescent="0.3">
      <c r="A31" t="s">
        <v>29</v>
      </c>
      <c r="B31" t="str" cm="1">
        <f t="array" ref="B31">INDEX(_xlfn.TEXTSPLIT(A31,"_"),1)</f>
        <v>30</v>
      </c>
      <c r="C31" t="str" cm="1">
        <f t="array" ref="C31">SUBSTITUTE(INDEX(_xlfn.TEXTSPLIT(A31,"_"),2),"St","")</f>
        <v>11</v>
      </c>
      <c r="D31" t="str" cm="1">
        <f t="array" ref="D31">SUBSTITUTE(INDEX(_xlfn.TEXTSPLIT(A31,"_"),3),"D","")</f>
        <v>15</v>
      </c>
      <c r="E31" s="1">
        <v>45890</v>
      </c>
      <c r="F31" s="2">
        <v>0.56805555555555554</v>
      </c>
      <c r="G31" t="s">
        <v>96</v>
      </c>
      <c r="H31" t="s">
        <v>97</v>
      </c>
      <c r="I31" t="s">
        <v>121</v>
      </c>
      <c r="J31" t="s">
        <v>123</v>
      </c>
    </row>
    <row r="32" spans="1:10" x14ac:dyDescent="0.3">
      <c r="A32" t="s">
        <v>30</v>
      </c>
      <c r="B32" t="str" cm="1">
        <f t="array" ref="B32">INDEX(_xlfn.TEXTSPLIT(A32,"_"),1)</f>
        <v>31</v>
      </c>
      <c r="C32" t="str" cm="1">
        <f t="array" ref="C32">SUBSTITUTE(INDEX(_xlfn.TEXTSPLIT(A32,"_"),2),"St","")</f>
        <v>11</v>
      </c>
      <c r="D32" t="str" cm="1">
        <f t="array" ref="D32">SUBSTITUTE(INDEX(_xlfn.TEXTSPLIT(A32,"_"),3),"D","")</f>
        <v>45</v>
      </c>
      <c r="E32" s="1">
        <v>45890</v>
      </c>
      <c r="F32" s="2">
        <v>0.56805555555555554</v>
      </c>
      <c r="G32" t="s">
        <v>96</v>
      </c>
      <c r="H32" t="s">
        <v>97</v>
      </c>
      <c r="I32" t="s">
        <v>121</v>
      </c>
      <c r="J32" t="s">
        <v>124</v>
      </c>
    </row>
    <row r="33" spans="1:10" x14ac:dyDescent="0.3">
      <c r="A33" t="s">
        <v>31</v>
      </c>
      <c r="B33" t="str" cm="1">
        <f t="array" ref="B33">INDEX(_xlfn.TEXTSPLIT(A33,"_"),1)</f>
        <v>32</v>
      </c>
      <c r="C33" t="str" cm="1">
        <f t="array" ref="C33">SUBSTITUTE(INDEX(_xlfn.TEXTSPLIT(A33,"_"),2),"St","")</f>
        <v>12</v>
      </c>
      <c r="D33" t="str" cm="1">
        <f t="array" ref="D33">SUBSTITUTE(INDEX(_xlfn.TEXTSPLIT(A33,"_"),3),"D","")</f>
        <v>1</v>
      </c>
      <c r="E33" s="1">
        <v>45891</v>
      </c>
      <c r="F33" s="2">
        <v>0.32847222222222222</v>
      </c>
      <c r="G33" t="s">
        <v>98</v>
      </c>
      <c r="H33" t="s">
        <v>99</v>
      </c>
      <c r="I33" t="s">
        <v>121</v>
      </c>
      <c r="J33" t="s">
        <v>123</v>
      </c>
    </row>
    <row r="34" spans="1:10" x14ac:dyDescent="0.3">
      <c r="A34" t="s">
        <v>32</v>
      </c>
      <c r="B34" t="str" cm="1">
        <f t="array" ref="B34">INDEX(_xlfn.TEXTSPLIT(A34,"_"),1)</f>
        <v>33</v>
      </c>
      <c r="C34" t="str" cm="1">
        <f t="array" ref="C34">SUBSTITUTE(INDEX(_xlfn.TEXTSPLIT(A34,"_"),2),"St","")</f>
        <v>12</v>
      </c>
      <c r="D34" t="str" cm="1">
        <f t="array" ref="D34">SUBSTITUTE(INDEX(_xlfn.TEXTSPLIT(A34,"_"),3),"D","")</f>
        <v>15</v>
      </c>
      <c r="E34" s="1">
        <v>45891</v>
      </c>
      <c r="F34" s="2">
        <v>0.32847222222222222</v>
      </c>
      <c r="G34" t="s">
        <v>98</v>
      </c>
      <c r="H34" t="s">
        <v>99</v>
      </c>
      <c r="I34" t="s">
        <v>121</v>
      </c>
      <c r="J34" t="s">
        <v>123</v>
      </c>
    </row>
    <row r="35" spans="1:10" x14ac:dyDescent="0.3">
      <c r="A35" t="s">
        <v>33</v>
      </c>
      <c r="B35" t="str" cm="1">
        <f t="array" ref="B35">INDEX(_xlfn.TEXTSPLIT(A35,"_"),1)</f>
        <v>34</v>
      </c>
      <c r="C35" t="str" cm="1">
        <f t="array" ref="C35">SUBSTITUTE(INDEX(_xlfn.TEXTSPLIT(A35,"_"),2),"St","")</f>
        <v>12</v>
      </c>
      <c r="D35" t="str" cm="1">
        <f t="array" ref="D35">SUBSTITUTE(INDEX(_xlfn.TEXTSPLIT(A35,"_"),3),"D","")</f>
        <v>45</v>
      </c>
      <c r="E35" s="1">
        <v>45891</v>
      </c>
      <c r="F35" s="2">
        <v>0.32847222222222222</v>
      </c>
      <c r="G35" t="s">
        <v>98</v>
      </c>
      <c r="H35" t="s">
        <v>99</v>
      </c>
      <c r="I35" t="s">
        <v>121</v>
      </c>
      <c r="J35" t="s">
        <v>125</v>
      </c>
    </row>
    <row r="36" spans="1:10" x14ac:dyDescent="0.3">
      <c r="A36" t="s">
        <v>34</v>
      </c>
      <c r="B36" t="str" cm="1">
        <f t="array" ref="B36">INDEX(_xlfn.TEXTSPLIT(A36,"_"),1)</f>
        <v>35</v>
      </c>
      <c r="C36" t="str" cm="1">
        <f t="array" ref="C36">SUBSTITUTE(INDEX(_xlfn.TEXTSPLIT(A36,"_"),2),"St","")</f>
        <v>13</v>
      </c>
      <c r="D36" t="str" cm="1">
        <f t="array" ref="D36">SUBSTITUTE(INDEX(_xlfn.TEXTSPLIT(A36,"_"),3),"D","")</f>
        <v>1</v>
      </c>
      <c r="E36" s="1">
        <v>45891</v>
      </c>
      <c r="F36" s="2">
        <v>0.38263888888888892</v>
      </c>
      <c r="G36" t="s">
        <v>100</v>
      </c>
      <c r="H36" t="s">
        <v>101</v>
      </c>
      <c r="I36" t="s">
        <v>121</v>
      </c>
      <c r="J36" t="s">
        <v>123</v>
      </c>
    </row>
    <row r="37" spans="1:10" x14ac:dyDescent="0.3">
      <c r="A37" t="s">
        <v>35</v>
      </c>
      <c r="B37" t="str" cm="1">
        <f t="array" ref="B37">INDEX(_xlfn.TEXTSPLIT(A37,"_"),1)</f>
        <v>36</v>
      </c>
      <c r="C37" t="str" cm="1">
        <f t="array" ref="C37">SUBSTITUTE(INDEX(_xlfn.TEXTSPLIT(A37,"_"),2),"St","")</f>
        <v>13</v>
      </c>
      <c r="D37" t="str" cm="1">
        <f t="array" ref="D37">SUBSTITUTE(INDEX(_xlfn.TEXTSPLIT(A37,"_"),3),"D","")</f>
        <v>15</v>
      </c>
      <c r="E37" s="1">
        <v>45891</v>
      </c>
      <c r="F37" s="2">
        <v>0.38263888888888892</v>
      </c>
      <c r="G37" t="s">
        <v>100</v>
      </c>
      <c r="H37" t="s">
        <v>101</v>
      </c>
      <c r="I37" t="s">
        <v>121</v>
      </c>
      <c r="J37" t="s">
        <v>123</v>
      </c>
    </row>
    <row r="38" spans="1:10" x14ac:dyDescent="0.3">
      <c r="A38" t="s">
        <v>36</v>
      </c>
      <c r="B38" t="str" cm="1">
        <f t="array" ref="B38">INDEX(_xlfn.TEXTSPLIT(A38,"_"),1)</f>
        <v>37</v>
      </c>
      <c r="C38" t="str" cm="1">
        <f t="array" ref="C38">SUBSTITUTE(INDEX(_xlfn.TEXTSPLIT(A38,"_"),2),"St","")</f>
        <v>13</v>
      </c>
      <c r="D38" t="str" cm="1">
        <f t="array" ref="D38">SUBSTITUTE(INDEX(_xlfn.TEXTSPLIT(A38,"_"),3),"D","")</f>
        <v>45</v>
      </c>
      <c r="E38" s="1">
        <v>45891</v>
      </c>
      <c r="F38" s="2">
        <v>0.38263888888888892</v>
      </c>
      <c r="G38" t="s">
        <v>100</v>
      </c>
      <c r="H38" t="s">
        <v>101</v>
      </c>
      <c r="I38" t="s">
        <v>121</v>
      </c>
      <c r="J38" t="s">
        <v>125</v>
      </c>
    </row>
    <row r="39" spans="1:10" x14ac:dyDescent="0.3">
      <c r="A39" t="s">
        <v>37</v>
      </c>
      <c r="B39" t="str" cm="1">
        <f t="array" ref="B39">INDEX(_xlfn.TEXTSPLIT(A39,"_"),1)</f>
        <v>38</v>
      </c>
      <c r="C39" t="str" cm="1">
        <f t="array" ref="C39">SUBSTITUTE(INDEX(_xlfn.TEXTSPLIT(A39,"_"),2),"St","")</f>
        <v>14</v>
      </c>
      <c r="D39" t="str" cm="1">
        <f t="array" ref="D39">SUBSTITUTE(INDEX(_xlfn.TEXTSPLIT(A39,"_"),3),"D","")</f>
        <v>1</v>
      </c>
      <c r="E39" s="1">
        <v>45891</v>
      </c>
      <c r="F39" s="2">
        <v>0.55625000000000002</v>
      </c>
      <c r="G39" t="s">
        <v>102</v>
      </c>
      <c r="H39" t="s">
        <v>103</v>
      </c>
      <c r="I39" t="s">
        <v>121</v>
      </c>
      <c r="J39" t="s">
        <v>123</v>
      </c>
    </row>
    <row r="40" spans="1:10" x14ac:dyDescent="0.3">
      <c r="A40" t="s">
        <v>38</v>
      </c>
      <c r="B40" t="str" cm="1">
        <f t="array" ref="B40">INDEX(_xlfn.TEXTSPLIT(A40,"_"),1)</f>
        <v>39</v>
      </c>
      <c r="C40" t="str" cm="1">
        <f t="array" ref="C40">SUBSTITUTE(INDEX(_xlfn.TEXTSPLIT(A40,"_"),2),"St","")</f>
        <v>14</v>
      </c>
      <c r="D40" t="str" cm="1">
        <f t="array" ref="D40">SUBSTITUTE(INDEX(_xlfn.TEXTSPLIT(A40,"_"),3),"D","")</f>
        <v>15</v>
      </c>
      <c r="E40" s="1">
        <v>45891</v>
      </c>
      <c r="F40" s="2">
        <v>0.55625000000000002</v>
      </c>
      <c r="G40" t="s">
        <v>102</v>
      </c>
      <c r="H40" t="s">
        <v>103</v>
      </c>
      <c r="I40" t="s">
        <v>121</v>
      </c>
      <c r="J40" t="s">
        <v>123</v>
      </c>
    </row>
    <row r="41" spans="1:10" x14ac:dyDescent="0.3">
      <c r="A41" t="s">
        <v>39</v>
      </c>
      <c r="B41" t="str" cm="1">
        <f t="array" ref="B41">INDEX(_xlfn.TEXTSPLIT(A41,"_"),1)</f>
        <v>40</v>
      </c>
      <c r="C41" t="str" cm="1">
        <f t="array" ref="C41">SUBSTITUTE(INDEX(_xlfn.TEXTSPLIT(A41,"_"),2),"St","")</f>
        <v>14</v>
      </c>
      <c r="D41" t="str" cm="1">
        <f t="array" ref="D41">SUBSTITUTE(INDEX(_xlfn.TEXTSPLIT(A41,"_"),3),"D","")</f>
        <v>45</v>
      </c>
      <c r="E41" s="1">
        <v>45891</v>
      </c>
      <c r="F41" s="2">
        <v>0.55625000000000002</v>
      </c>
      <c r="G41" t="s">
        <v>102</v>
      </c>
      <c r="H41" t="s">
        <v>103</v>
      </c>
      <c r="I41" t="s">
        <v>121</v>
      </c>
      <c r="J41" t="s">
        <v>125</v>
      </c>
    </row>
    <row r="42" spans="1:10" x14ac:dyDescent="0.3">
      <c r="A42" t="s">
        <v>40</v>
      </c>
      <c r="B42" t="str" cm="1">
        <f t="array" ref="B42">INDEX(_xlfn.TEXTSPLIT(A42,"_"),1)</f>
        <v>41</v>
      </c>
      <c r="C42" t="str" cm="1">
        <f t="array" ref="C42">SUBSTITUTE(INDEX(_xlfn.TEXTSPLIT(A42,"_"),2),"St","")</f>
        <v>15</v>
      </c>
      <c r="D42" t="str" cm="1">
        <f t="array" ref="D42">SUBSTITUTE(INDEX(_xlfn.TEXTSPLIT(A42,"_"),3),"D","")</f>
        <v>1</v>
      </c>
      <c r="E42" s="1">
        <v>45892</v>
      </c>
      <c r="F42" s="2">
        <v>0.43958333333333338</v>
      </c>
      <c r="G42" t="s">
        <v>104</v>
      </c>
      <c r="H42" t="s">
        <v>105</v>
      </c>
      <c r="I42" t="s">
        <v>121</v>
      </c>
      <c r="J42" t="s">
        <v>125</v>
      </c>
    </row>
    <row r="43" spans="1:10" x14ac:dyDescent="0.3">
      <c r="A43" t="s">
        <v>41</v>
      </c>
      <c r="B43" t="str" cm="1">
        <f t="array" ref="B43">INDEX(_xlfn.TEXTSPLIT(A43,"_"),1)</f>
        <v>42</v>
      </c>
      <c r="C43" t="str" cm="1">
        <f t="array" ref="C43">SUBSTITUTE(INDEX(_xlfn.TEXTSPLIT(A43,"_"),2),"St","")</f>
        <v>15</v>
      </c>
      <c r="D43" t="str" cm="1">
        <f t="array" ref="D43">SUBSTITUTE(INDEX(_xlfn.TEXTSPLIT(A43,"_"),3),"D","")</f>
        <v>15</v>
      </c>
      <c r="E43" s="1">
        <v>45892</v>
      </c>
      <c r="F43" s="2">
        <v>0.43958333333333338</v>
      </c>
      <c r="G43" t="s">
        <v>104</v>
      </c>
      <c r="H43" t="s">
        <v>105</v>
      </c>
      <c r="I43" t="s">
        <v>121</v>
      </c>
      <c r="J43" t="s">
        <v>125</v>
      </c>
    </row>
    <row r="44" spans="1:10" x14ac:dyDescent="0.3">
      <c r="A44" t="s">
        <v>42</v>
      </c>
      <c r="B44" t="str" cm="1">
        <f t="array" ref="B44">INDEX(_xlfn.TEXTSPLIT(A44,"_"),1)</f>
        <v>43</v>
      </c>
      <c r="C44" t="str" cm="1">
        <f t="array" ref="C44">SUBSTITUTE(INDEX(_xlfn.TEXTSPLIT(A44,"_"),2),"St","")</f>
        <v>15</v>
      </c>
      <c r="D44" t="str" cm="1">
        <f t="array" ref="D44">SUBSTITUTE(INDEX(_xlfn.TEXTSPLIT(A44,"_"),3),"D","")</f>
        <v>45</v>
      </c>
      <c r="E44" s="1">
        <v>45892</v>
      </c>
      <c r="F44" s="2">
        <v>0.43958333333333338</v>
      </c>
      <c r="G44" t="s">
        <v>104</v>
      </c>
      <c r="H44" t="s">
        <v>105</v>
      </c>
      <c r="I44" t="s">
        <v>121</v>
      </c>
      <c r="J44" t="s">
        <v>126</v>
      </c>
    </row>
    <row r="45" spans="1:10" x14ac:dyDescent="0.3">
      <c r="A45" t="s">
        <v>43</v>
      </c>
      <c r="B45" t="str" cm="1">
        <f t="array" ref="B45">INDEX(_xlfn.TEXTSPLIT(A45,"_"),1)</f>
        <v>44</v>
      </c>
      <c r="C45" t="str" cm="1">
        <f t="array" ref="C45">SUBSTITUTE(INDEX(_xlfn.TEXTSPLIT(A45,"_"),2),"St","")</f>
        <v>16</v>
      </c>
      <c r="D45" t="str" cm="1">
        <f t="array" ref="D45">SUBSTITUTE(INDEX(_xlfn.TEXTSPLIT(A45,"_"),3),"D","")</f>
        <v>1</v>
      </c>
      <c r="E45" s="1">
        <v>45892</v>
      </c>
      <c r="F45" s="2">
        <v>0.6069444444444444</v>
      </c>
      <c r="G45" t="s">
        <v>106</v>
      </c>
      <c r="H45" t="s">
        <v>107</v>
      </c>
      <c r="I45" t="s">
        <v>121</v>
      </c>
      <c r="J45" t="s">
        <v>123</v>
      </c>
    </row>
    <row r="46" spans="1:10" x14ac:dyDescent="0.3">
      <c r="A46" t="s">
        <v>44</v>
      </c>
      <c r="B46" t="str" cm="1">
        <f t="array" ref="B46">INDEX(_xlfn.TEXTSPLIT(A46,"_"),1)</f>
        <v>45</v>
      </c>
      <c r="C46" t="str" cm="1">
        <f t="array" ref="C46">SUBSTITUTE(INDEX(_xlfn.TEXTSPLIT(A46,"_"),2),"St","")</f>
        <v>16</v>
      </c>
      <c r="D46" t="str" cm="1">
        <f t="array" ref="D46">SUBSTITUTE(INDEX(_xlfn.TEXTSPLIT(A46,"_"),3),"D","")</f>
        <v>15</v>
      </c>
      <c r="E46" s="1">
        <v>45892</v>
      </c>
      <c r="F46" s="2">
        <v>0.6069444444444444</v>
      </c>
      <c r="G46" t="s">
        <v>106</v>
      </c>
      <c r="H46" t="s">
        <v>107</v>
      </c>
      <c r="I46" t="s">
        <v>121</v>
      </c>
      <c r="J46" t="s">
        <v>123</v>
      </c>
    </row>
    <row r="47" spans="1:10" x14ac:dyDescent="0.3">
      <c r="A47" t="s">
        <v>45</v>
      </c>
      <c r="B47" t="str" cm="1">
        <f t="array" ref="B47">INDEX(_xlfn.TEXTSPLIT(A47,"_"),1)</f>
        <v>46</v>
      </c>
      <c r="C47" t="str" cm="1">
        <f t="array" ref="C47">SUBSTITUTE(INDEX(_xlfn.TEXTSPLIT(A47,"_"),2),"St","")</f>
        <v>16</v>
      </c>
      <c r="D47" t="str" cm="1">
        <f t="array" ref="D47">SUBSTITUTE(INDEX(_xlfn.TEXTSPLIT(A47,"_"),3),"D","")</f>
        <v>45</v>
      </c>
      <c r="E47" s="1">
        <v>45892</v>
      </c>
      <c r="F47" s="2">
        <v>0.6069444444444444</v>
      </c>
      <c r="G47" t="s">
        <v>106</v>
      </c>
      <c r="H47" t="s">
        <v>107</v>
      </c>
      <c r="I47" t="s">
        <v>121</v>
      </c>
      <c r="J47" t="s">
        <v>125</v>
      </c>
    </row>
    <row r="48" spans="1:10" x14ac:dyDescent="0.3">
      <c r="A48" t="s">
        <v>46</v>
      </c>
      <c r="B48" t="str" cm="1">
        <f t="array" ref="B48">INDEX(_xlfn.TEXTSPLIT(A48,"_"),1)</f>
        <v>47</v>
      </c>
      <c r="C48" t="str" cm="1">
        <f t="array" ref="C48">SUBSTITUTE(INDEX(_xlfn.TEXTSPLIT(A48,"_"),2),"St","")</f>
        <v>17</v>
      </c>
      <c r="D48" t="str" cm="1">
        <f t="array" ref="D48">SUBSTITUTE(INDEX(_xlfn.TEXTSPLIT(A48,"_"),3),"D","")</f>
        <v>1</v>
      </c>
      <c r="E48" s="1">
        <v>45893</v>
      </c>
      <c r="F48" s="2">
        <v>0.33749999999999997</v>
      </c>
      <c r="G48" t="s">
        <v>108</v>
      </c>
      <c r="H48" t="s">
        <v>109</v>
      </c>
      <c r="I48" t="s">
        <v>122</v>
      </c>
      <c r="J48" t="s">
        <v>123</v>
      </c>
    </row>
    <row r="49" spans="1:10" x14ac:dyDescent="0.3">
      <c r="A49" t="s">
        <v>47</v>
      </c>
      <c r="B49" t="str" cm="1">
        <f t="array" ref="B49">INDEX(_xlfn.TEXTSPLIT(A49,"_"),1)</f>
        <v>48</v>
      </c>
      <c r="C49" t="str" cm="1">
        <f t="array" ref="C49">SUBSTITUTE(INDEX(_xlfn.TEXTSPLIT(A49,"_"),2),"St","")</f>
        <v>17</v>
      </c>
      <c r="D49" t="str" cm="1">
        <f t="array" ref="D49">SUBSTITUTE(INDEX(_xlfn.TEXTSPLIT(A49,"_"),3),"D","")</f>
        <v>15</v>
      </c>
      <c r="E49" s="1">
        <v>45893</v>
      </c>
      <c r="F49" s="2">
        <v>0.33749999999999997</v>
      </c>
      <c r="G49" t="s">
        <v>108</v>
      </c>
      <c r="H49" t="s">
        <v>109</v>
      </c>
      <c r="I49" t="s">
        <v>122</v>
      </c>
      <c r="J49" t="s">
        <v>123</v>
      </c>
    </row>
    <row r="50" spans="1:10" x14ac:dyDescent="0.3">
      <c r="A50" t="s">
        <v>48</v>
      </c>
      <c r="B50" t="str" cm="1">
        <f t="array" ref="B50">INDEX(_xlfn.TEXTSPLIT(A50,"_"),1)</f>
        <v>49</v>
      </c>
      <c r="C50" t="str" cm="1">
        <f t="array" ref="C50">SUBSTITUTE(INDEX(_xlfn.TEXTSPLIT(A50,"_"),2),"St","")</f>
        <v>17</v>
      </c>
      <c r="D50" t="str" cm="1">
        <f t="array" ref="D50">SUBSTITUTE(INDEX(_xlfn.TEXTSPLIT(A50,"_"),3),"D","")</f>
        <v>45</v>
      </c>
      <c r="E50" s="1">
        <v>45893</v>
      </c>
      <c r="F50" s="2">
        <v>0.33749999999999997</v>
      </c>
      <c r="G50" t="s">
        <v>108</v>
      </c>
      <c r="H50" t="s">
        <v>109</v>
      </c>
      <c r="I50" t="s">
        <v>122</v>
      </c>
      <c r="J50" t="s">
        <v>123</v>
      </c>
    </row>
    <row r="51" spans="1:10" x14ac:dyDescent="0.3">
      <c r="A51" t="s">
        <v>49</v>
      </c>
      <c r="B51" t="str" cm="1">
        <f t="array" ref="B51">INDEX(_xlfn.TEXTSPLIT(A51,"_"),1)</f>
        <v>50</v>
      </c>
      <c r="C51" t="str" cm="1">
        <f t="array" ref="C51">SUBSTITUTE(INDEX(_xlfn.TEXTSPLIT(A51,"_"),2),"St","")</f>
        <v>18</v>
      </c>
      <c r="D51" t="str" cm="1">
        <f t="array" ref="D51">SUBSTITUTE(INDEX(_xlfn.TEXTSPLIT(A51,"_"),3),"D","")</f>
        <v>1</v>
      </c>
      <c r="E51" s="1">
        <v>45893</v>
      </c>
      <c r="F51" s="2">
        <v>0.40069444444444446</v>
      </c>
      <c r="G51" t="s">
        <v>110</v>
      </c>
      <c r="H51" t="s">
        <v>111</v>
      </c>
      <c r="I51" t="s">
        <v>122</v>
      </c>
      <c r="J51" t="s">
        <v>123</v>
      </c>
    </row>
    <row r="52" spans="1:10" x14ac:dyDescent="0.3">
      <c r="A52" t="s">
        <v>50</v>
      </c>
      <c r="B52" t="str" cm="1">
        <f t="array" ref="B52">INDEX(_xlfn.TEXTSPLIT(A52,"_"),1)</f>
        <v>51</v>
      </c>
      <c r="C52" t="str" cm="1">
        <f t="array" ref="C52">SUBSTITUTE(INDEX(_xlfn.TEXTSPLIT(A52,"_"),2),"St","")</f>
        <v>18</v>
      </c>
      <c r="D52" t="str" cm="1">
        <f t="array" ref="D52">SUBSTITUTE(INDEX(_xlfn.TEXTSPLIT(A52,"_"),3),"D","")</f>
        <v>15</v>
      </c>
      <c r="E52" s="1">
        <v>45893</v>
      </c>
      <c r="F52" s="2">
        <v>0.40069444444444446</v>
      </c>
      <c r="G52" t="s">
        <v>110</v>
      </c>
      <c r="H52" t="s">
        <v>111</v>
      </c>
      <c r="I52" t="s">
        <v>122</v>
      </c>
      <c r="J52" t="s">
        <v>123</v>
      </c>
    </row>
    <row r="53" spans="1:10" x14ac:dyDescent="0.3">
      <c r="A53" t="s">
        <v>51</v>
      </c>
      <c r="B53" t="str" cm="1">
        <f t="array" ref="B53">INDEX(_xlfn.TEXTSPLIT(A53,"_"),1)</f>
        <v>52</v>
      </c>
      <c r="C53" t="str" cm="1">
        <f t="array" ref="C53">SUBSTITUTE(INDEX(_xlfn.TEXTSPLIT(A53,"_"),2),"St","")</f>
        <v>18</v>
      </c>
      <c r="D53" t="str" cm="1">
        <f t="array" ref="D53">SUBSTITUTE(INDEX(_xlfn.TEXTSPLIT(A53,"_"),3),"D","")</f>
        <v>45</v>
      </c>
      <c r="E53" s="1">
        <v>45893</v>
      </c>
      <c r="F53" s="2">
        <v>0.40069444444444446</v>
      </c>
      <c r="G53" t="s">
        <v>110</v>
      </c>
      <c r="H53" t="s">
        <v>111</v>
      </c>
      <c r="I53" t="s">
        <v>122</v>
      </c>
      <c r="J53" t="s">
        <v>124</v>
      </c>
    </row>
    <row r="54" spans="1:10" x14ac:dyDescent="0.3">
      <c r="A54" t="s">
        <v>52</v>
      </c>
      <c r="B54" t="str" cm="1">
        <f t="array" ref="B54">INDEX(_xlfn.TEXTSPLIT(A54,"_"),1)</f>
        <v>53</v>
      </c>
      <c r="C54" t="str" cm="1">
        <f t="array" ref="C54">SUBSTITUTE(INDEX(_xlfn.TEXTSPLIT(A54,"_"),2),"St","")</f>
        <v>19</v>
      </c>
      <c r="D54" t="str" cm="1">
        <f t="array" ref="D54">SUBSTITUTE(INDEX(_xlfn.TEXTSPLIT(A54,"_"),3),"D","")</f>
        <v>1</v>
      </c>
      <c r="E54" s="1">
        <v>45893</v>
      </c>
      <c r="F54" s="2">
        <v>0.57361111111111118</v>
      </c>
      <c r="G54" t="s">
        <v>112</v>
      </c>
      <c r="H54" t="s">
        <v>113</v>
      </c>
      <c r="I54" t="s">
        <v>122</v>
      </c>
      <c r="J54" t="s">
        <v>123</v>
      </c>
    </row>
    <row r="55" spans="1:10" x14ac:dyDescent="0.3">
      <c r="A55" t="s">
        <v>53</v>
      </c>
      <c r="B55" t="str" cm="1">
        <f t="array" ref="B55">INDEX(_xlfn.TEXTSPLIT(A55,"_"),1)</f>
        <v>54</v>
      </c>
      <c r="C55" t="str" cm="1">
        <f t="array" ref="C55">SUBSTITUTE(INDEX(_xlfn.TEXTSPLIT(A55,"_"),2),"St","")</f>
        <v>19</v>
      </c>
      <c r="D55" t="str" cm="1">
        <f t="array" ref="D55">SUBSTITUTE(INDEX(_xlfn.TEXTSPLIT(A55,"_"),3),"D","")</f>
        <v>15</v>
      </c>
      <c r="E55" s="1">
        <v>45893</v>
      </c>
      <c r="F55" s="2">
        <v>0.57361111111111118</v>
      </c>
      <c r="G55" t="s">
        <v>112</v>
      </c>
      <c r="H55" t="s">
        <v>113</v>
      </c>
      <c r="I55" t="s">
        <v>122</v>
      </c>
      <c r="J55" t="s">
        <v>123</v>
      </c>
    </row>
    <row r="56" spans="1:10" x14ac:dyDescent="0.3">
      <c r="A56" t="s">
        <v>54</v>
      </c>
      <c r="B56" t="str" cm="1">
        <f t="array" ref="B56">INDEX(_xlfn.TEXTSPLIT(A56,"_"),1)</f>
        <v>55</v>
      </c>
      <c r="C56" t="str" cm="1">
        <f t="array" ref="C56">SUBSTITUTE(INDEX(_xlfn.TEXTSPLIT(A56,"_"),2),"St","")</f>
        <v>19</v>
      </c>
      <c r="D56" t="str" cm="1">
        <f t="array" ref="D56">SUBSTITUTE(INDEX(_xlfn.TEXTSPLIT(A56,"_"),3),"D","")</f>
        <v>45</v>
      </c>
      <c r="E56" s="1">
        <v>45893</v>
      </c>
      <c r="F56" s="2">
        <v>0.57361111111111118</v>
      </c>
      <c r="G56" t="s">
        <v>112</v>
      </c>
      <c r="H56" t="s">
        <v>113</v>
      </c>
      <c r="I56" t="s">
        <v>122</v>
      </c>
      <c r="J56" t="s">
        <v>124</v>
      </c>
    </row>
    <row r="57" spans="1:10" x14ac:dyDescent="0.3">
      <c r="A57" t="s">
        <v>55</v>
      </c>
      <c r="B57" t="str" cm="1">
        <f t="array" ref="B57">INDEX(_xlfn.TEXTSPLIT(A57,"_"),1)</f>
        <v>56</v>
      </c>
      <c r="C57" t="str" cm="1">
        <f t="array" ref="C57">SUBSTITUTE(INDEX(_xlfn.TEXTSPLIT(A57,"_"),2),"St","")</f>
        <v>20</v>
      </c>
      <c r="D57" t="str" cm="1">
        <f t="array" ref="D57">SUBSTITUTE(INDEX(_xlfn.TEXTSPLIT(A57,"_"),3),"D","")</f>
        <v>1</v>
      </c>
      <c r="E57" s="1">
        <v>45894</v>
      </c>
      <c r="F57" s="2">
        <v>0.41180555555555554</v>
      </c>
      <c r="G57" t="s">
        <v>114</v>
      </c>
      <c r="H57" t="s">
        <v>115</v>
      </c>
      <c r="I57" t="s">
        <v>122</v>
      </c>
      <c r="J57" t="s">
        <v>123</v>
      </c>
    </row>
    <row r="58" spans="1:10" x14ac:dyDescent="0.3">
      <c r="A58" t="s">
        <v>56</v>
      </c>
      <c r="B58" t="str" cm="1">
        <f t="array" ref="B58">INDEX(_xlfn.TEXTSPLIT(A58,"_"),1)</f>
        <v>57</v>
      </c>
      <c r="C58" t="str" cm="1">
        <f t="array" ref="C58">SUBSTITUTE(INDEX(_xlfn.TEXTSPLIT(A58,"_"),2),"St","")</f>
        <v>20</v>
      </c>
      <c r="D58" t="str" cm="1">
        <f t="array" ref="D58">SUBSTITUTE(INDEX(_xlfn.TEXTSPLIT(A58,"_"),3),"D","")</f>
        <v>15</v>
      </c>
      <c r="E58" s="1">
        <v>45894</v>
      </c>
      <c r="F58" s="2">
        <v>0.41180555555555554</v>
      </c>
      <c r="G58" t="s">
        <v>114</v>
      </c>
      <c r="H58" t="s">
        <v>115</v>
      </c>
      <c r="I58" t="s">
        <v>122</v>
      </c>
      <c r="J58" t="s">
        <v>123</v>
      </c>
    </row>
    <row r="59" spans="1:10" x14ac:dyDescent="0.3">
      <c r="A59" t="s">
        <v>57</v>
      </c>
      <c r="B59" t="str" cm="1">
        <f t="array" ref="B59">INDEX(_xlfn.TEXTSPLIT(A59,"_"),1)</f>
        <v>58</v>
      </c>
      <c r="C59" t="str" cm="1">
        <f t="array" ref="C59">SUBSTITUTE(INDEX(_xlfn.TEXTSPLIT(A59,"_"),2),"St","")</f>
        <v>20</v>
      </c>
      <c r="D59" t="str" cm="1">
        <f t="array" ref="D59">SUBSTITUTE(INDEX(_xlfn.TEXTSPLIT(A59,"_"),3),"D","")</f>
        <v>45</v>
      </c>
      <c r="E59" s="1">
        <v>45894</v>
      </c>
      <c r="F59" s="2">
        <v>0.41180555555555554</v>
      </c>
      <c r="G59" t="s">
        <v>114</v>
      </c>
      <c r="H59" t="s">
        <v>115</v>
      </c>
      <c r="I59" t="s">
        <v>122</v>
      </c>
      <c r="J59" t="s">
        <v>124</v>
      </c>
    </row>
    <row r="60" spans="1:10" x14ac:dyDescent="0.3">
      <c r="A60" t="s">
        <v>58</v>
      </c>
      <c r="B60" t="str" cm="1">
        <f t="array" ref="B60">INDEX(_xlfn.TEXTSPLIT(A60,"_"),1)</f>
        <v>59</v>
      </c>
      <c r="C60" t="str" cm="1">
        <f t="array" ref="C60">SUBSTITUTE(INDEX(_xlfn.TEXTSPLIT(A60,"_"),2),"St","")</f>
        <v>21</v>
      </c>
      <c r="D60" t="str" cm="1">
        <f t="array" ref="D60">SUBSTITUTE(INDEX(_xlfn.TEXTSPLIT(A60,"_"),3),"D","")</f>
        <v>1</v>
      </c>
      <c r="E60" s="1">
        <v>45894</v>
      </c>
      <c r="F60" s="2">
        <v>0.47222222222222227</v>
      </c>
      <c r="G60" t="s">
        <v>116</v>
      </c>
      <c r="H60" t="s">
        <v>117</v>
      </c>
      <c r="I60" t="s">
        <v>122</v>
      </c>
      <c r="J60" t="s">
        <v>123</v>
      </c>
    </row>
    <row r="61" spans="1:10" x14ac:dyDescent="0.3">
      <c r="A61" t="s">
        <v>59</v>
      </c>
      <c r="B61" t="str" cm="1">
        <f t="array" ref="B61">INDEX(_xlfn.TEXTSPLIT(A61,"_"),1)</f>
        <v>60</v>
      </c>
      <c r="C61" t="str" cm="1">
        <f t="array" ref="C61">SUBSTITUTE(INDEX(_xlfn.TEXTSPLIT(A61,"_"),2),"St","")</f>
        <v>21</v>
      </c>
      <c r="D61" t="str" cm="1">
        <f t="array" ref="D61">SUBSTITUTE(INDEX(_xlfn.TEXTSPLIT(A61,"_"),3),"D","")</f>
        <v>15</v>
      </c>
      <c r="E61" s="1">
        <v>45894</v>
      </c>
      <c r="F61" s="2">
        <v>0.47222222222222227</v>
      </c>
      <c r="G61" t="s">
        <v>116</v>
      </c>
      <c r="H61" t="s">
        <v>117</v>
      </c>
      <c r="I61" t="s">
        <v>122</v>
      </c>
      <c r="J61" t="s">
        <v>123</v>
      </c>
    </row>
    <row r="62" spans="1:10" x14ac:dyDescent="0.3">
      <c r="A62" t="s">
        <v>60</v>
      </c>
      <c r="B62" t="str" cm="1">
        <f t="array" ref="B62">INDEX(_xlfn.TEXTSPLIT(A62,"_"),1)</f>
        <v>61</v>
      </c>
      <c r="C62" t="str" cm="1">
        <f t="array" ref="C62">SUBSTITUTE(INDEX(_xlfn.TEXTSPLIT(A62,"_"),2),"St","")</f>
        <v>21</v>
      </c>
      <c r="D62" t="str" cm="1">
        <f t="array" ref="D62">SUBSTITUTE(INDEX(_xlfn.TEXTSPLIT(A62,"_"),3),"D","")</f>
        <v>45</v>
      </c>
      <c r="E62" s="1">
        <v>45894</v>
      </c>
      <c r="F62" s="2">
        <v>0.47222222222222227</v>
      </c>
      <c r="G62" t="s">
        <v>116</v>
      </c>
      <c r="H62" t="s">
        <v>117</v>
      </c>
      <c r="I62" t="s">
        <v>122</v>
      </c>
      <c r="J62" t="s">
        <v>125</v>
      </c>
    </row>
    <row r="63" spans="1:10" x14ac:dyDescent="0.3">
      <c r="A63" t="s">
        <v>61</v>
      </c>
      <c r="B63" t="str" cm="1">
        <f t="array" ref="B63">INDEX(_xlfn.TEXTSPLIT(A63,"_"),1)</f>
        <v>62</v>
      </c>
      <c r="C63" t="str" cm="1">
        <f t="array" ref="C63">SUBSTITUTE(INDEX(_xlfn.TEXTSPLIT(A63,"_"),2),"St","")</f>
        <v>22</v>
      </c>
      <c r="D63" t="str" cm="1">
        <f t="array" ref="D63">SUBSTITUTE(INDEX(_xlfn.TEXTSPLIT(A63,"_"),3),"D","")</f>
        <v>1</v>
      </c>
      <c r="E63" s="1">
        <v>45894</v>
      </c>
      <c r="F63" s="2">
        <v>0.61319444444444449</v>
      </c>
      <c r="G63" t="s">
        <v>118</v>
      </c>
      <c r="H63" t="s">
        <v>119</v>
      </c>
      <c r="I63" t="s">
        <v>122</v>
      </c>
      <c r="J63" t="s">
        <v>123</v>
      </c>
    </row>
    <row r="64" spans="1:10" x14ac:dyDescent="0.3">
      <c r="A64" t="s">
        <v>62</v>
      </c>
      <c r="B64" t="str" cm="1">
        <f t="array" ref="B64">INDEX(_xlfn.TEXTSPLIT(A64,"_"),1)</f>
        <v>63</v>
      </c>
      <c r="C64" t="str" cm="1">
        <f t="array" ref="C64">SUBSTITUTE(INDEX(_xlfn.TEXTSPLIT(A64,"_"),2),"St","")</f>
        <v>22</v>
      </c>
      <c r="D64" t="str" cm="1">
        <f t="array" ref="D64">SUBSTITUTE(INDEX(_xlfn.TEXTSPLIT(A64,"_"),3),"D","")</f>
        <v>15</v>
      </c>
      <c r="E64" s="1">
        <v>45894</v>
      </c>
      <c r="F64" s="2">
        <v>0.61319444444444449</v>
      </c>
      <c r="G64" t="s">
        <v>118</v>
      </c>
      <c r="H64" t="s">
        <v>119</v>
      </c>
      <c r="I64" t="s">
        <v>122</v>
      </c>
      <c r="J64" t="s">
        <v>123</v>
      </c>
    </row>
    <row r="65" spans="1:10" x14ac:dyDescent="0.3">
      <c r="A65" t="s">
        <v>63</v>
      </c>
      <c r="B65" t="str" cm="1">
        <f t="array" ref="B65">INDEX(_xlfn.TEXTSPLIT(A65,"_"),1)</f>
        <v>64</v>
      </c>
      <c r="C65" t="str" cm="1">
        <f t="array" ref="C65">SUBSTITUTE(INDEX(_xlfn.TEXTSPLIT(A65,"_"),2),"St","")</f>
        <v>22</v>
      </c>
      <c r="D65" t="str" cm="1">
        <f t="array" ref="D65">SUBSTITUTE(INDEX(_xlfn.TEXTSPLIT(A65,"_"),3),"D","")</f>
        <v>45</v>
      </c>
      <c r="E65" s="1">
        <v>45894</v>
      </c>
      <c r="F65" s="2">
        <v>0.61319444444444449</v>
      </c>
      <c r="G65" t="s">
        <v>118</v>
      </c>
      <c r="H65" t="s">
        <v>119</v>
      </c>
      <c r="I65" t="s">
        <v>122</v>
      </c>
      <c r="J65" t="s">
        <v>125</v>
      </c>
    </row>
    <row r="66" spans="1:10" x14ac:dyDescent="0.3">
      <c r="A66" t="s">
        <v>64</v>
      </c>
      <c r="B66" t="str" cm="1">
        <f t="array" ref="B66">INDEX(_xlfn.TEXTSPLIT(A66,"_"),1)</f>
        <v>65</v>
      </c>
      <c r="C66" t="s">
        <v>74</v>
      </c>
      <c r="D66" t="s">
        <v>74</v>
      </c>
      <c r="E66" t="s">
        <v>74</v>
      </c>
      <c r="F66" t="s">
        <v>74</v>
      </c>
      <c r="G66" t="s">
        <v>74</v>
      </c>
      <c r="H66" t="s">
        <v>74</v>
      </c>
      <c r="I66" t="s">
        <v>74</v>
      </c>
      <c r="J66" t="s">
        <v>74</v>
      </c>
    </row>
    <row r="67" spans="1:10" x14ac:dyDescent="0.3">
      <c r="A67" t="s">
        <v>65</v>
      </c>
      <c r="B67" t="str" cm="1">
        <f t="array" ref="B67">INDEX(_xlfn.TEXTSPLIT(A67,"_"),1)</f>
        <v>66</v>
      </c>
      <c r="C67" t="s">
        <v>74</v>
      </c>
      <c r="D67" t="s">
        <v>74</v>
      </c>
      <c r="E67" t="s">
        <v>74</v>
      </c>
      <c r="F67" t="s">
        <v>74</v>
      </c>
      <c r="G67" t="s">
        <v>74</v>
      </c>
      <c r="H67" t="s">
        <v>74</v>
      </c>
      <c r="I67" t="s">
        <v>74</v>
      </c>
      <c r="J6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Hubot</dc:creator>
  <cp:lastModifiedBy>Nathan Hubot</cp:lastModifiedBy>
  <dcterms:created xsi:type="dcterms:W3CDTF">2026-02-11T14:03:16Z</dcterms:created>
  <dcterms:modified xsi:type="dcterms:W3CDTF">2026-03-17T11:39:13Z</dcterms:modified>
</cp:coreProperties>
</file>